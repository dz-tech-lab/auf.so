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2026-20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CHF&quot;;-#,##0 &quot;CHF&quot;"/>
  </numFmts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666666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2F5C8A"/>
        <bgColor rgb="002F5C8A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pivotButton="0" quotePrefix="0" xfId="0"/>
    <xf numFmtId="0" fontId="4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164" fontId="4" fillId="0" borderId="1" pivotButton="0" quotePrefix="0" xfId="0"/>
    <xf numFmtId="0" fontId="4" fillId="0" borderId="1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55" customWidth="1" min="6" max="6"/>
  </cols>
  <sheetData>
    <row r="1">
      <c r="A1" s="1" t="inlineStr">
        <is>
          <t>Auf — Draft Budget, Years 1–3 (2026–2028)</t>
        </is>
      </c>
    </row>
    <row r="2" ht="28" customHeight="1">
      <c r="A2" s="2" t="inlineStr">
        <is>
          <t>Status: draft, not approved. Amounts CHF. Years 2027-2028 repeat Year 1's figures as a flat placeholder - no real multi-year plan exists yet (see notes).</t>
        </is>
      </c>
    </row>
    <row r="4">
      <c r="A4" s="3" t="inlineStr">
        <is>
          <t>SUMMARY</t>
        </is>
      </c>
    </row>
    <row r="5">
      <c r="A5" s="4" t="inlineStr"/>
      <c r="B5" s="4" t="inlineStr">
        <is>
          <t>2026</t>
        </is>
      </c>
      <c r="C5" s="4" t="inlineStr">
        <is>
          <t>2027</t>
        </is>
      </c>
      <c r="D5" s="4" t="inlineStr">
        <is>
          <t>2028</t>
        </is>
      </c>
      <c r="E5" s="4" t="inlineStr">
        <is>
          <t>3-yr total</t>
        </is>
      </c>
    </row>
    <row r="6">
      <c r="A6" s="5" t="inlineStr">
        <is>
          <t>Fundraising target — low</t>
        </is>
      </c>
      <c r="B6" s="6" t="n">
        <v>100000</v>
      </c>
      <c r="C6" s="6" t="n">
        <v>100000</v>
      </c>
      <c r="D6" s="6" t="n">
        <v>100000</v>
      </c>
      <c r="E6" s="7">
        <f>SUM(B6:D6)</f>
        <v/>
      </c>
    </row>
    <row r="7">
      <c r="A7" s="5" t="inlineStr">
        <is>
          <t>Fundraising target — high</t>
        </is>
      </c>
      <c r="B7" s="6" t="n">
        <v>200000</v>
      </c>
      <c r="C7" s="6" t="n">
        <v>200000</v>
      </c>
      <c r="D7" s="6" t="n">
        <v>200000</v>
      </c>
      <c r="E7" s="7">
        <f>SUM(B7:D7)</f>
        <v/>
      </c>
    </row>
    <row r="8">
      <c r="A8" s="5" t="inlineStr">
        <is>
          <t>Operating expenses</t>
        </is>
      </c>
      <c r="B8" s="6">
        <f>B25</f>
        <v/>
      </c>
      <c r="C8" s="6">
        <f>C25</f>
        <v/>
      </c>
      <c r="D8" s="6">
        <f>D25</f>
        <v/>
      </c>
      <c r="E8" s="7">
        <f>SUM(B8:D8)</f>
        <v/>
      </c>
    </row>
    <row r="9">
      <c r="A9" s="8" t="inlineStr">
        <is>
          <t>Net — low case</t>
        </is>
      </c>
      <c r="B9" s="7">
        <f>B6-B8</f>
        <v/>
      </c>
      <c r="C9" s="7">
        <f>C6-C8</f>
        <v/>
      </c>
      <c r="D9" s="7">
        <f>D6-D8</f>
        <v/>
      </c>
      <c r="E9" s="7">
        <f>SUM(B9:D9)</f>
        <v/>
      </c>
    </row>
    <row r="10">
      <c r="A10" s="8" t="inlineStr">
        <is>
          <t>Net — high case</t>
        </is>
      </c>
      <c r="B10" s="7">
        <f>B7-B8</f>
        <v/>
      </c>
      <c r="C10" s="7">
        <f>C7-C8</f>
        <v/>
      </c>
      <c r="D10" s="7">
        <f>D7-D8</f>
        <v/>
      </c>
      <c r="E10" s="7">
        <f>SUM(B10:D10)</f>
        <v/>
      </c>
    </row>
    <row r="12">
      <c r="A12" s="3" t="inlineStr">
        <is>
          <t>REVENUE BY YEAR</t>
        </is>
      </c>
    </row>
    <row r="13">
      <c r="A13" s="4" t="inlineStr">
        <is>
          <t>Source</t>
        </is>
      </c>
      <c r="B13" s="4" t="inlineStr">
        <is>
          <t>2026</t>
        </is>
      </c>
      <c r="C13" s="4" t="inlineStr">
        <is>
          <t>2027</t>
        </is>
      </c>
      <c r="D13" s="4" t="inlineStr">
        <is>
          <t>2028</t>
        </is>
      </c>
      <c r="E13" s="4" t="inlineStr"/>
      <c r="F13" s="4" t="inlineStr">
        <is>
          <t>Notes</t>
        </is>
      </c>
    </row>
    <row r="14">
      <c r="A14" s="5" t="inlineStr">
        <is>
          <t>Donations / sponsorships — low</t>
        </is>
      </c>
      <c r="B14" s="6" t="n">
        <v>100000</v>
      </c>
      <c r="C14" s="6" t="n">
        <v>100000</v>
      </c>
      <c r="D14" s="6" t="n">
        <v>100000</v>
      </c>
      <c r="F14" s="5" t="inlineStr">
        <is>
          <t>Flat placeholder — see donors/strategy.md for tiers/segments. Live pipeline tracked via GitHub Issues (donors/pipeline.md).</t>
        </is>
      </c>
    </row>
    <row r="15">
      <c r="A15" s="5" t="inlineStr">
        <is>
          <t>Donations / sponsorships — high</t>
        </is>
      </c>
      <c r="B15" s="6" t="n">
        <v>200000</v>
      </c>
      <c r="C15" s="6" t="n">
        <v>200000</v>
      </c>
      <c r="D15" s="6" t="n">
        <v>200000</v>
      </c>
      <c r="F15" s="5" t="inlineStr">
        <is>
          <t>Same caveat — flat placeholder, not a forecast.</t>
        </is>
      </c>
    </row>
    <row r="16">
      <c r="A16" s="5" t="inlineStr">
        <is>
          <t>Membership fees</t>
        </is>
      </c>
      <c r="B16" s="6" t="n">
        <v>0</v>
      </c>
      <c r="C16" s="6" t="n">
        <v>0</v>
      </c>
      <c r="D16" s="6" t="n">
        <v>0</v>
      </c>
      <c r="F16" s="5" t="inlineStr">
        <is>
          <t>TBD — set annually by the General Assembly per statutes Art. 8; likely negligible relative to donations.</t>
        </is>
      </c>
    </row>
    <row r="17">
      <c r="A17" s="8" t="inlineStr">
        <is>
          <t>Total revenue — low</t>
        </is>
      </c>
      <c r="B17" s="7">
        <f>B14+B16</f>
        <v/>
      </c>
      <c r="C17" s="7">
        <f>C14+C16</f>
        <v/>
      </c>
      <c r="D17" s="7">
        <f>D14+D16</f>
        <v/>
      </c>
    </row>
    <row r="18">
      <c r="A18" s="8" t="inlineStr">
        <is>
          <t>Total revenue — high</t>
        </is>
      </c>
      <c r="B18" s="7">
        <f>B15+B16</f>
        <v/>
      </c>
      <c r="C18" s="7">
        <f>C15+C16</f>
        <v/>
      </c>
      <c r="D18" s="7">
        <f>D15+D16</f>
        <v/>
      </c>
    </row>
    <row r="20">
      <c r="A20" s="3" t="inlineStr">
        <is>
          <t>OPERATING EXPENSES BY YEAR</t>
        </is>
      </c>
    </row>
    <row r="21">
      <c r="A21" s="4" t="inlineStr">
        <is>
          <t>Category</t>
        </is>
      </c>
      <c r="B21" s="4" t="inlineStr">
        <is>
          <t>2026</t>
        </is>
      </c>
      <c r="C21" s="4" t="inlineStr">
        <is>
          <t>2027</t>
        </is>
      </c>
      <c r="D21" s="4" t="inlineStr">
        <is>
          <t>2028</t>
        </is>
      </c>
      <c r="E21" s="4" t="inlineStr"/>
      <c r="F21" s="4" t="inlineStr">
        <is>
          <t>Notes</t>
        </is>
      </c>
    </row>
    <row r="22">
      <c r="A22" s="5" t="inlineStr">
        <is>
          <t>Events</t>
        </is>
      </c>
      <c r="B22" s="6" t="n">
        <v>10000</v>
      </c>
      <c r="C22" s="6" t="n">
        <v>10000</v>
      </c>
      <c r="D22" s="6" t="n">
        <v>10000</v>
      </c>
      <c r="F22" s="5" t="inlineStr">
        <is>
          <t>Illustrative 50/50 split of the ~20,000/year figure — TBD.</t>
        </is>
      </c>
    </row>
    <row r="23">
      <c r="A23" s="5" t="inlineStr">
        <is>
          <t>Office equipment</t>
        </is>
      </c>
      <c r="B23" s="6" t="n">
        <v>10000</v>
      </c>
      <c r="C23" s="6" t="n">
        <v>10000</v>
      </c>
      <c r="D23" s="6" t="n">
        <v>10000</v>
      </c>
      <c r="F23" s="5" t="inlineStr">
        <is>
          <t>First-year setup costs are usually front-loaded — repeating Year 1's figure in 2027-2028 likely overestimates equipment specifically. Revisit once Year 1 actuals are known.</t>
        </is>
      </c>
    </row>
    <row r="24">
      <c r="A24" s="5" t="inlineStr">
        <is>
          <t>Office rent</t>
        </is>
      </c>
      <c r="B24" s="6" t="n">
        <v>0</v>
      </c>
      <c r="C24" s="6" t="n">
        <v>0</v>
      </c>
      <c r="D24" s="6" t="n">
        <v>0</v>
      </c>
      <c r="F24" s="5" t="inlineStr">
        <is>
          <t>Not yet committed — no space secured. Add as a recurring line starting in whichever year a lease is signed, not retroactively across all three.</t>
        </is>
      </c>
    </row>
    <row r="25">
      <c r="A25" s="8" t="inlineStr">
        <is>
          <t>Total operating expenses</t>
        </is>
      </c>
      <c r="B25" s="7">
        <f>SUM(B22:B24)</f>
        <v/>
      </c>
      <c r="C25" s="7">
        <f>SUM(C22:C24)</f>
        <v/>
      </c>
      <c r="D25" s="7">
        <f>SUM(D22:D24)</f>
        <v/>
      </c>
    </row>
    <row r="27">
      <c r="A27" s="3" t="inlineStr">
        <is>
          <t>WHAT THIS BUDGET DOES NOT YET COVER</t>
        </is>
      </c>
    </row>
    <row r="28" ht="32" customHeight="1">
      <c r="A28" s="9" t="inlineStr">
        <is>
          <t>• Direct participant support (seed contributions to founders per statutes Art. 2, mentorship stipends, etc.) - NOT sized here, in any year. Cost per participant/track is still TBD in participants/support-offered.md; once set, it becomes its own line - likely the largest cost driver by Year 2 or 3.</t>
        </is>
      </c>
    </row>
    <row r="29" ht="32" customHeight="1">
      <c r="A29" s="9" t="inlineStr">
        <is>
          <t>• Paid staff - statutes assume an honorary/volunteer board (Art. 17); no salaries budgeted in any year.</t>
        </is>
      </c>
    </row>
    <row r="30" ht="32" customHeight="1">
      <c r="A30" s="9" t="inlineStr">
        <is>
          <t>• Any statutory audit fee, if the GA appoints auditors (statutes Art. 14) - not yet costed for any year.</t>
        </is>
      </c>
    </row>
    <row r="31" ht="32" customHeight="1">
      <c r="A31" s="9" t="inlineStr">
        <is>
          <t>• Growth or decline in fundraising capacity - Year 1 is a genuine estimate; Years 2-3 are the same number copy-pasted forward, not a forecast.</t>
        </is>
      </c>
    </row>
    <row r="33">
      <c r="A33" s="3" t="inlineStr">
        <is>
          <t>OPEN QUESTIONS FOR THE FOUNDING TEAM</t>
        </is>
      </c>
    </row>
    <row r="34" ht="32" customHeight="1">
      <c r="A34" s="9" t="inlineStr">
        <is>
          <t>☐ Confirm whether Years 2-3 should really repeat Year 1's fundraising target, or whether growth/decline assumptions should be modeled instead.</t>
        </is>
      </c>
    </row>
    <row r="35" ht="32" customHeight="1">
      <c r="A35" s="9" t="inlineStr">
        <is>
          <t>☐ Confirm the events / office-equipment split, and whether equipment costs should be lower in Years 2-3 versus Year 1.</t>
        </is>
      </c>
    </row>
    <row r="36" ht="32" customHeight="1">
      <c r="A36" s="9" t="inlineStr">
        <is>
          <t>☐ Confirm timeline for securing office space and expected rent, and which year it should first appear in.</t>
        </is>
      </c>
    </row>
    <row r="37" ht="32" customHeight="1">
      <c r="A37" s="9" t="inlineStr">
        <is>
          <t>☐ Set a cost-per-participant figure in participants/support-offered.md and add it as a budget line, ideally per year.</t>
        </is>
      </c>
    </row>
    <row r="38" ht="32" customHeight="1">
      <c r="A38" s="9" t="inlineStr">
        <is>
          <t>☐ Approve this plan via board resolution and/or GA per operations/finance.md's budget cycle - note the statutes' annual-budget process (Art. 12) is a one-year cycle, so a 3-year plan needs re-approval or re-confirmation annually.</t>
        </is>
      </c>
    </row>
    <row r="40">
      <c r="A40" s="10" t="inlineStr">
        <is>
          <t>See operations/budget-2026-2028.md in the auf.so repo for the full narrative version, and operations/finance.md, donors/strategy.md, donors/reporting.md for related process.</t>
        </is>
      </c>
    </row>
  </sheetData>
  <mergeCells count="17">
    <mergeCell ref="A38:F38"/>
    <mergeCell ref="A2:F2"/>
    <mergeCell ref="A33:F33"/>
    <mergeCell ref="A4:E4"/>
    <mergeCell ref="A28:F28"/>
    <mergeCell ref="A36:F36"/>
    <mergeCell ref="A1:F1"/>
    <mergeCell ref="A37:F37"/>
    <mergeCell ref="A27:F27"/>
    <mergeCell ref="A31:F31"/>
    <mergeCell ref="A34:F34"/>
    <mergeCell ref="A12:F12"/>
    <mergeCell ref="A35:F35"/>
    <mergeCell ref="A40:F40"/>
    <mergeCell ref="A20:F20"/>
    <mergeCell ref="A30:F30"/>
    <mergeCell ref="A29:F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2026-07-07T05:12:03Z</dcterms:created>
  <dcterms:modified xmlns:dcterms="http://purl.org/dc/terms/" xmlns:xsi="http://www.w3.org/2001/XMLSchema-instance" xsi:type="dcterms:W3CDTF">2026-07-07T05:12:03Z</dcterms:modified>
</cp:coreProperties>
</file>