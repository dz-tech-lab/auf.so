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2026-20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CHF&quot;;-#,##0 &quot;CHF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  <sz val="11"/>
    </font>
    <font>
      <b val="1"/>
      <color rgb="001B5E20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D9EAD3"/>
        <bgColor rgb="00D9EAD3"/>
      </patternFill>
    </fill>
    <fill>
      <patternFill patternType="solid">
        <fgColor rgb="002F5C8A"/>
        <bgColor rgb="002F5C8A"/>
      </patternFill>
    </fill>
    <fill>
      <patternFill patternType="solid">
        <fgColor rgb="00D9E2F3"/>
        <bgColor rgb="00D9E2F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3" borderId="0" pivotButton="0" quotePrefix="0" xfId="0"/>
    <xf numFmtId="0" fontId="5" fillId="4" borderId="1" pivotButton="0" quotePrefix="0" xfId="0"/>
    <xf numFmtId="0" fontId="0" fillId="0" borderId="1" pivotButton="0" quotePrefix="0" xfId="0"/>
    <xf numFmtId="9" fontId="5" fillId="5" borderId="1" pivotButton="0" quotePrefix="0" xfId="0"/>
    <xf numFmtId="164" fontId="5" fillId="5" borderId="1" pivotButton="0" quotePrefix="0" xfId="0"/>
    <xf numFmtId="164" fontId="0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4" fontId="5" fillId="2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55" customWidth="1" min="6" max="6"/>
  </cols>
  <sheetData>
    <row r="1">
      <c r="A1" s="1" t="inlineStr">
        <is>
          <t>Auf — Draft Budget, Years 1–3 (Q4 2026 – 2028)</t>
        </is>
      </c>
    </row>
    <row r="2" ht="28" customHeight="1">
      <c r="A2" s="2" t="inlineStr">
        <is>
          <t>Internal status: reviewed by external counsel (Schellenberg Wittmer, 2026-07-16); still pending board/GA budget approval (operations/finance.md). Remove this line before any actual filing use. Yellow cells are the live assumptions/inputs; everything else is a formula.</t>
        </is>
      </c>
    </row>
    <row r="4">
      <c r="A4" s="3" t="inlineStr">
        <is>
          <t>UPDATED FINDING: LOW CASE NOW VIABLE, BUT ONLY JUST (+CHF 4,000 BY END OF 2028)</t>
        </is>
      </c>
    </row>
    <row r="5" ht="45" customHeight="1">
      <c r="A5" s="4" t="inlineStr">
        <is>
          <t>Revised fundraising schedule (raised across Q4 2026 AND 2027, not all at once) plus a trimmed 2028 grant count in the low case keeps the cumulative reserve positive throughout - but only by ~CHF 4,000 at the end of 2028 in the low case. High case ends with a much healthier ~CHF 124,000 buffer. Treat the low case as break-even with no margin for error, not as comfortably solved.</t>
        </is>
      </c>
    </row>
    <row r="7">
      <c r="A7" s="5" t="inlineStr">
        <is>
          <t>ASSUMPTIONS (edit these — everything below follows)</t>
        </is>
      </c>
    </row>
    <row r="8">
      <c r="A8" s="6" t="inlineStr"/>
      <c r="B8" s="6" t="inlineStr">
        <is>
          <t>Q4 2026</t>
        </is>
      </c>
      <c r="C8" s="6" t="inlineStr">
        <is>
          <t>2027</t>
        </is>
      </c>
      <c r="D8" s="6" t="inlineStr">
        <is>
          <t>2028</t>
        </is>
      </c>
      <c r="E8" s="6" t="inlineStr"/>
    </row>
    <row r="9">
      <c r="A9" s="7" t="inlineStr">
        <is>
          <t>Spending basis — share of a full year's operating budget (events/equipment/coworking/SaaS)</t>
        </is>
      </c>
      <c r="B9" s="8" t="n">
        <v>0.25</v>
      </c>
      <c r="C9" s="8" t="n">
        <v>1</v>
      </c>
      <c r="D9" s="8" t="n">
        <v>1</v>
      </c>
    </row>
    <row r="10">
      <c r="A10" s="7" t="inlineStr">
        <is>
          <t>Fundraising basis — share of the CHF 100k-200k target raised this period</t>
        </is>
      </c>
      <c r="B10" s="8" t="n">
        <v>0.5</v>
      </c>
      <c r="C10" s="8" t="n">
        <v>1</v>
      </c>
      <c r="D10" s="8" t="n">
        <v>0</v>
      </c>
    </row>
    <row r="11">
      <c r="A11" s="7" t="inlineStr">
        <is>
          <t>Base full-year fundraising target — low</t>
        </is>
      </c>
      <c r="B11" s="9" t="n">
        <v>100000</v>
      </c>
    </row>
    <row r="12">
      <c r="A12" s="7" t="inlineStr">
        <is>
          <t>Base full-year fundraising target — high</t>
        </is>
      </c>
      <c r="B12" s="9" t="n">
        <v>200000</v>
      </c>
    </row>
    <row r="13">
      <c r="A13" s="7" t="inlineStr">
        <is>
          <t>Base full-year operating budget (events/equipment/coworking/SaaS)</t>
        </is>
      </c>
      <c r="B13" s="9" t="n">
        <v>16000</v>
      </c>
    </row>
    <row r="15">
      <c r="A15" s="5" t="inlineStr">
        <is>
          <t>BENEFICIARY GRANTS (direct inputs per period)</t>
        </is>
      </c>
    </row>
    <row r="16">
      <c r="A16" s="6" t="inlineStr"/>
      <c r="B16" s="6" t="inlineStr">
        <is>
          <t>Q4 2026</t>
        </is>
      </c>
      <c r="C16" s="6" t="inlineStr">
        <is>
          <t>2027</t>
        </is>
      </c>
      <c r="D16" s="6" t="inlineStr">
        <is>
          <t>2028</t>
        </is>
      </c>
      <c r="E16" s="6" t="inlineStr"/>
      <c r="F16" s="6" t="inlineStr">
        <is>
          <t>Notes</t>
        </is>
      </c>
    </row>
    <row r="17">
      <c r="A17" s="7" t="inlineStr">
        <is>
          <t>Beneficiary grants — low</t>
        </is>
      </c>
      <c r="B17" s="9" t="n">
        <v>10000</v>
      </c>
      <c r="C17" s="9" t="n">
        <v>40000</v>
      </c>
      <c r="D17" s="9" t="n">
        <v>60000</v>
      </c>
      <c r="F17" s="7" t="inlineStr">
        <is>
          <t>Q4 2026 = ~1 unit placeholder. 2027 = 4 units. 2028 trimmed to 6 units (from 7) to keep the low case solvent under the new revenue schedule.</t>
        </is>
      </c>
    </row>
    <row r="18">
      <c r="A18" s="7" t="inlineStr">
        <is>
          <t>Beneficiary grants — high</t>
        </is>
      </c>
      <c r="B18" s="9" t="n">
        <v>10000</v>
      </c>
      <c r="C18" s="9" t="n">
        <v>50000</v>
      </c>
      <c r="D18" s="9" t="n">
        <v>80000</v>
      </c>
      <c r="F18" s="7" t="inlineStr">
        <is>
          <t>Unchanged from the previous version.</t>
        </is>
      </c>
    </row>
    <row r="20">
      <c r="A20" s="5" t="inlineStr">
        <is>
          <t>SUMMARY</t>
        </is>
      </c>
    </row>
    <row r="21">
      <c r="A21" s="6" t="inlineStr"/>
      <c r="B21" s="6" t="inlineStr">
        <is>
          <t>Q4 2026</t>
        </is>
      </c>
      <c r="C21" s="6" t="inlineStr">
        <is>
          <t>2027</t>
        </is>
      </c>
      <c r="D21" s="6" t="inlineStr">
        <is>
          <t>2028</t>
        </is>
      </c>
      <c r="E21" s="6" t="inlineStr">
        <is>
          <t>3-yr total</t>
        </is>
      </c>
    </row>
    <row r="22">
      <c r="A22" s="7" t="inlineStr">
        <is>
          <t>Fundraising raised — low</t>
        </is>
      </c>
      <c r="B22" s="10">
        <f>$B$11*B10</f>
        <v/>
      </c>
      <c r="C22" s="10">
        <f>$B$11*C10</f>
        <v/>
      </c>
      <c r="D22" s="10">
        <f>$B$11*D10</f>
        <v/>
      </c>
      <c r="E22" s="11">
        <f>SUM(B22:D22)</f>
        <v/>
      </c>
    </row>
    <row r="23">
      <c r="A23" s="7" t="inlineStr">
        <is>
          <t>Fundraising raised — high</t>
        </is>
      </c>
      <c r="B23" s="10">
        <f>$B$12*B10</f>
        <v/>
      </c>
      <c r="C23" s="10">
        <f>$B$12*C10</f>
        <v/>
      </c>
      <c r="D23" s="10">
        <f>$B$12*D10</f>
        <v/>
      </c>
      <c r="E23" s="11">
        <f>SUM(B23:D23)</f>
        <v/>
      </c>
    </row>
    <row r="24">
      <c r="A24" s="7" t="inlineStr">
        <is>
          <t>Operating expenses</t>
        </is>
      </c>
      <c r="B24" s="10">
        <f>$B$13*B9</f>
        <v/>
      </c>
      <c r="C24" s="10">
        <f>$B$13*C9</f>
        <v/>
      </c>
      <c r="D24" s="10">
        <f>$B$13*D9</f>
        <v/>
      </c>
      <c r="E24" s="11">
        <f>SUM(B24:D24)</f>
        <v/>
      </c>
    </row>
    <row r="25">
      <c r="A25" s="7" t="inlineStr">
        <is>
          <t>Beneficiary grants — low</t>
        </is>
      </c>
      <c r="B25" s="10">
        <f>B17</f>
        <v/>
      </c>
      <c r="C25" s="10">
        <f>C17</f>
        <v/>
      </c>
      <c r="D25" s="10">
        <f>D17</f>
        <v/>
      </c>
      <c r="E25" s="11">
        <f>SUM(B25:D25)</f>
        <v/>
      </c>
    </row>
    <row r="26">
      <c r="A26" s="7" t="inlineStr">
        <is>
          <t>Beneficiary grants — high</t>
        </is>
      </c>
      <c r="B26" s="10">
        <f>B18</f>
        <v/>
      </c>
      <c r="C26" s="10">
        <f>C18</f>
        <v/>
      </c>
      <c r="D26" s="10">
        <f>D18</f>
        <v/>
      </c>
      <c r="E26" s="11">
        <f>SUM(B26:D26)</f>
        <v/>
      </c>
    </row>
    <row r="27">
      <c r="A27" s="12" t="inlineStr">
        <is>
          <t>Total expenses — low</t>
        </is>
      </c>
      <c r="B27" s="11">
        <f>B24+B25</f>
        <v/>
      </c>
      <c r="C27" s="11">
        <f>C24+C25</f>
        <v/>
      </c>
      <c r="D27" s="11">
        <f>D24+D25</f>
        <v/>
      </c>
      <c r="E27" s="11">
        <f>SUM(B27:D27)</f>
        <v/>
      </c>
    </row>
    <row r="28">
      <c r="A28" s="12" t="inlineStr">
        <is>
          <t>Total expenses — high</t>
        </is>
      </c>
      <c r="B28" s="11">
        <f>B24+B26</f>
        <v/>
      </c>
      <c r="C28" s="11">
        <f>C24+C26</f>
        <v/>
      </c>
      <c r="D28" s="11">
        <f>D24+D26</f>
        <v/>
      </c>
      <c r="E28" s="11">
        <f>SUM(B28:D28)</f>
        <v/>
      </c>
    </row>
    <row r="29">
      <c r="A29" s="12" t="inlineStr">
        <is>
          <t>Reserve movement — low</t>
        </is>
      </c>
      <c r="B29" s="11">
        <f>B22-B27</f>
        <v/>
      </c>
      <c r="C29" s="11">
        <f>C22-C27</f>
        <v/>
      </c>
      <c r="D29" s="11">
        <f>D22-D27</f>
        <v/>
      </c>
      <c r="E29" s="11">
        <f>SUM(B29:D29)</f>
        <v/>
      </c>
    </row>
    <row r="30">
      <c r="A30" s="12" t="inlineStr">
        <is>
          <t>Reserve movement — high</t>
        </is>
      </c>
      <c r="B30" s="11">
        <f>B23-B28</f>
        <v/>
      </c>
      <c r="C30" s="11">
        <f>C23-C28</f>
        <v/>
      </c>
      <c r="D30" s="11">
        <f>D23-D28</f>
        <v/>
      </c>
      <c r="E30" s="11">
        <f>SUM(B30:D30)</f>
        <v/>
      </c>
    </row>
    <row r="31">
      <c r="A31" s="12" t="inlineStr">
        <is>
          <t>Cumulative reserve, end of period — low</t>
        </is>
      </c>
      <c r="B31" s="11">
        <f>B29</f>
        <v/>
      </c>
      <c r="C31" s="11">
        <f>B31+C29</f>
        <v/>
      </c>
      <c r="D31" s="13">
        <f>C31+D29</f>
        <v/>
      </c>
    </row>
    <row r="32">
      <c r="A32" s="12" t="inlineStr">
        <is>
          <t>Cumulative reserve, end of period — high</t>
        </is>
      </c>
      <c r="B32" s="11">
        <f>B30</f>
        <v/>
      </c>
      <c r="C32" s="11">
        <f>B32+C30</f>
        <v/>
      </c>
      <c r="D32" s="11">
        <f>C32+D30</f>
        <v/>
      </c>
    </row>
    <row r="34">
      <c r="A34" s="5" t="inlineStr">
        <is>
          <t>OPERATING EXPENSES BY PERIOD (NON-GRANT)</t>
        </is>
      </c>
    </row>
    <row r="35">
      <c r="A35" s="6" t="inlineStr">
        <is>
          <t>Category</t>
        </is>
      </c>
      <c r="B35" s="6" t="inlineStr">
        <is>
          <t>Q4 2026</t>
        </is>
      </c>
      <c r="C35" s="6" t="inlineStr">
        <is>
          <t>2027</t>
        </is>
      </c>
      <c r="D35" s="6" t="inlineStr">
        <is>
          <t>2028</t>
        </is>
      </c>
      <c r="E35" s="6" t="inlineStr"/>
      <c r="F35" s="6" t="inlineStr">
        <is>
          <t>Notes</t>
        </is>
      </c>
    </row>
    <row r="36">
      <c r="A36" s="7" t="inlineStr">
        <is>
          <t>Events</t>
        </is>
      </c>
      <c r="B36" s="10">
        <f>10000*B9</f>
        <v/>
      </c>
      <c r="C36" s="10">
        <f>10000*C9</f>
        <v/>
      </c>
      <c r="D36" s="10">
        <f>10000*D9</f>
        <v/>
      </c>
      <c r="F36" s="7" t="inlineStr">
        <is>
          <t>Unchanged from the previous draft.</t>
        </is>
      </c>
    </row>
    <row r="37">
      <c r="A37" s="7" t="inlineStr">
        <is>
          <t>Office equipment</t>
        </is>
      </c>
      <c r="B37" s="10">
        <f>2000*B9</f>
        <v/>
      </c>
      <c r="C37" s="10">
        <f>2000*C9</f>
        <v/>
      </c>
      <c r="D37" s="10">
        <f>2000*D9</f>
        <v/>
      </c>
      <c r="F37" s="7" t="inlineStr">
        <is>
          <t>Unchanged.</t>
        </is>
      </c>
    </row>
    <row r="38">
      <c r="A38" s="7" t="inlineStr">
        <is>
          <t>Office / coworking (e.g. Impact Hub Zürich + event space)</t>
        </is>
      </c>
      <c r="B38" s="10">
        <f>3000*B9</f>
        <v/>
      </c>
      <c r="C38" s="10">
        <f>3000*C9</f>
        <v/>
      </c>
      <c r="D38" s="10">
        <f>3000*D9</f>
        <v/>
      </c>
      <c r="F38" s="7" t="inlineStr">
        <is>
          <t>Unchanged - illustrative, not a real quote.</t>
        </is>
      </c>
    </row>
    <row r="39">
      <c r="A39" s="7" t="inlineStr">
        <is>
          <t>SaaS subscriptions</t>
        </is>
      </c>
      <c r="B39" s="10">
        <f>1000*B9</f>
        <v/>
      </c>
      <c r="C39" s="10">
        <f>1000*C9</f>
        <v/>
      </c>
      <c r="D39" s="10">
        <f>1000*D9</f>
        <v/>
      </c>
      <c r="F39" s="7" t="inlineStr">
        <is>
          <t>Unchanged - illustrative.</t>
        </is>
      </c>
    </row>
    <row r="40">
      <c r="A40" s="12" t="inlineStr">
        <is>
          <t>Total operating expenses</t>
        </is>
      </c>
      <c r="B40" s="11">
        <f>SUM(B36:B39)</f>
        <v/>
      </c>
      <c r="C40" s="11">
        <f>SUM(C36:C39)</f>
        <v/>
      </c>
      <c r="D40" s="11">
        <f>SUM(D36:D39)</f>
        <v/>
      </c>
    </row>
    <row r="42">
      <c r="A42" s="5" t="inlineStr">
        <is>
          <t>REVENUE BY PERIOD</t>
        </is>
      </c>
    </row>
    <row r="43">
      <c r="A43" s="6" t="inlineStr">
        <is>
          <t>Source</t>
        </is>
      </c>
      <c r="B43" s="6" t="inlineStr">
        <is>
          <t>Q4 2026</t>
        </is>
      </c>
      <c r="C43" s="6" t="inlineStr">
        <is>
          <t>2027</t>
        </is>
      </c>
      <c r="D43" s="6" t="inlineStr">
        <is>
          <t>2028</t>
        </is>
      </c>
      <c r="E43" s="6" t="inlineStr"/>
      <c r="F43" s="6" t="inlineStr">
        <is>
          <t>Notes</t>
        </is>
      </c>
    </row>
    <row r="44">
      <c r="A44" s="7" t="inlineStr">
        <is>
          <t>Donations / sponsorships — low</t>
        </is>
      </c>
      <c r="B44" s="10">
        <f>$B$11*B10</f>
        <v/>
      </c>
      <c r="C44" s="10">
        <f>$B$11*C10</f>
        <v/>
      </c>
      <c r="D44" s="10">
        <f>$B$11*D10</f>
        <v/>
      </c>
      <c r="F44" s="7" t="inlineStr">
        <is>
          <t>50% of the low-case target raised in Q4 2026, the rest in 2027 - see donors/strategy.md.</t>
        </is>
      </c>
    </row>
    <row r="45">
      <c r="A45" s="7" t="inlineStr">
        <is>
          <t>Donations / sponsorships — high</t>
        </is>
      </c>
      <c r="B45" s="10">
        <f>$B$12*B10</f>
        <v/>
      </c>
      <c r="C45" s="10">
        <f>$B$12*C10</f>
        <v/>
      </c>
      <c r="D45" s="10">
        <f>$B$12*D10</f>
        <v/>
      </c>
      <c r="F45" s="7" t="inlineStr">
        <is>
          <t>Same schedule, high case.</t>
        </is>
      </c>
    </row>
    <row r="46">
      <c r="A46" s="7" t="inlineStr">
        <is>
          <t>Membership fees</t>
        </is>
      </c>
      <c r="B46" s="10" t="n">
        <v>0</v>
      </c>
      <c r="C46" s="10" t="n">
        <v>0</v>
      </c>
      <c r="D46" s="10" t="n">
        <v>0</v>
      </c>
      <c r="F46" s="7" t="inlineStr">
        <is>
          <t>TBD - set annually by the General Assembly per statutes Art. 8.</t>
        </is>
      </c>
    </row>
    <row r="48">
      <c r="A48" s="5" t="inlineStr">
        <is>
          <t>WHAT THIS BUDGET DOES NOT YET COVER</t>
        </is>
      </c>
    </row>
    <row r="49" ht="30" customHeight="1">
      <c r="A49" s="4" t="inlineStr">
        <is>
          <t>• Paid staff - statutes assume an honorary/volunteer board (Art. 17); no salaries budgeted in any period.</t>
        </is>
      </c>
    </row>
    <row r="50" ht="30" customHeight="1">
      <c r="A50" s="4" t="inlineStr">
        <is>
          <t>• Any statutory audit fee, if the GA appoints auditors (statutes Art. 14) - not yet costed.</t>
        </is>
      </c>
    </row>
    <row r="51" ht="30" customHeight="1">
      <c r="A51" s="4" t="inlineStr">
        <is>
          <t>• Fundraising in 2028 - this plan assumes no new money is raised in 2028; the low case has almost no room to absorb a shortfall if that's wrong.</t>
        </is>
      </c>
    </row>
    <row r="53">
      <c r="A53" s="5" t="inlineStr">
        <is>
          <t>READING THIS PLAN</t>
        </is>
      </c>
    </row>
    <row r="54" ht="26" customHeight="1">
      <c r="A54" s="4" t="inlineStr">
        <is>
          <t>The low case now survives all three years, but CHF 4,000 at the end of 2028 is not a buffer, it's a rounding error.</t>
        </is>
      </c>
    </row>
    <row r="55" ht="26" customHeight="1">
      <c r="A55" s="4" t="inlineStr">
        <is>
          <t>Anything that pushes cost up or fundraising down even slightly (one more grant, a slower 2027 raise, a lease instead of coworking) puts the low case negative.</t>
        </is>
      </c>
    </row>
    <row r="56" ht="26" customHeight="1">
      <c r="A56" s="4" t="inlineStr">
        <is>
          <t>The high case has real room (~CHF 124,000 by end of 2028) - the more realistic cushion to plan around if fundraising lands anywhere above the low end.</t>
        </is>
      </c>
    </row>
    <row r="58">
      <c r="A58" s="5" t="inlineStr">
        <is>
          <t>OPEN QUESTIONS FOR THE FOUNDING TEAM</t>
        </is>
      </c>
    </row>
    <row r="59" ht="28" customHeight="1">
      <c r="A59" s="4" t="inlineStr">
        <is>
          <t>☐ Given how thin the low-case margin is, decide whether 6 funded units in 2028 is a hard cap in that scenario, or whether fundraising should continue into 2028.</t>
        </is>
      </c>
    </row>
    <row r="60" ht="28" customHeight="1">
      <c r="A60" s="4" t="inlineStr">
        <is>
          <t>☐ Confirm the coworking/SaaS estimates - both are still illustrative guesses, not real quotes.</t>
        </is>
      </c>
    </row>
    <row r="61" ht="28" customHeight="1">
      <c r="A61" s="4" t="inlineStr">
        <is>
          <t>☐ Confirm timeline for securing dedicated office space, and when coworking membership would be replaced by a lease.</t>
        </is>
      </c>
    </row>
    <row r="62" ht="28" customHeight="1">
      <c r="A62" s="4" t="inlineStr">
        <is>
          <t>☐ Approve this plan via board resolution and/or GA per operations/finance.md's budget cycle.</t>
        </is>
      </c>
    </row>
    <row r="64">
      <c r="A64" s="14" t="inlineStr">
        <is>
          <t>See operations/budget-2026-2028.md in the auf.so repo for the full narrative version, and operations/finance.md, donors/strategy.md, participants/support-offered.md, donors/reporting.md for related process.</t>
        </is>
      </c>
    </row>
  </sheetData>
  <mergeCells count="23">
    <mergeCell ref="A54:F54"/>
    <mergeCell ref="A50:F50"/>
    <mergeCell ref="A56:F56"/>
    <mergeCell ref="A55:F55"/>
    <mergeCell ref="A2:F2"/>
    <mergeCell ref="A42:F42"/>
    <mergeCell ref="A7:E7"/>
    <mergeCell ref="A5:F5"/>
    <mergeCell ref="A4:F4"/>
    <mergeCell ref="A62:F62"/>
    <mergeCell ref="A53:F53"/>
    <mergeCell ref="A58:F58"/>
    <mergeCell ref="A34:F34"/>
    <mergeCell ref="A48:F48"/>
    <mergeCell ref="A15:F15"/>
    <mergeCell ref="A59:F59"/>
    <mergeCell ref="A64:F64"/>
    <mergeCell ref="A49:F49"/>
    <mergeCell ref="A51:F51"/>
    <mergeCell ref="A20:E20"/>
    <mergeCell ref="A60:F60"/>
    <mergeCell ref="A1:F1"/>
    <mergeCell ref="A61:F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2026-07-17T05:55:42Z</dcterms:created>
  <dcterms:modified xmlns:dcterms="http://purl.org/dc/terms/" xmlns:xsi="http://www.w3.org/2001/XMLSchema-instance" xsi:type="dcterms:W3CDTF">2026-07-17T05:55:42Z</dcterms:modified>
</cp:coreProperties>
</file>