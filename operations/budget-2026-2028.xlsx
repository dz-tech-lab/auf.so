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2026-20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CHF&quot;;-#,##0 &quot;CHF&quot;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2F5C8A"/>
        <bgColor rgb="002F5C8A"/>
      </patternFill>
    </fill>
    <fill>
      <patternFill patternType="solid">
        <fgColor rgb="00D9E2F3"/>
        <bgColor rgb="00D9E2F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0" fillId="0" borderId="1" pivotButton="0" quotePrefix="0" xfId="0"/>
    <xf numFmtId="9" fontId="4" fillId="4" borderId="1" pivotButton="0" quotePrefix="0" xfId="0"/>
    <xf numFmtId="164" fontId="4" fillId="4" borderId="1" pivotButton="0" quotePrefix="0" xfId="0"/>
    <xf numFmtId="164" fontId="0" fillId="0" borderId="1" pivotButton="0" quotePrefix="0" xfId="0"/>
    <xf numFmtId="164" fontId="4" fillId="0" borderId="1" pivotButton="0" quotePrefix="0" xfId="0"/>
    <xf numFmtId="0" fontId="4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55" customWidth="1" min="6" max="6"/>
  </cols>
  <sheetData>
    <row r="1">
      <c r="A1" s="1" t="inlineStr">
        <is>
          <t>Auf — Draft Budget, Years 1–3 (Q4 2026 – 2028)</t>
        </is>
      </c>
    </row>
    <row r="2" ht="15" customHeight="1">
      <c r="A2" s="2" t="inlineStr">
        <is>
          <t>Status: draft, not approved. Amounts CHF. Yellow cells are the live assumptions — everything else is a formula off them.</t>
        </is>
      </c>
    </row>
    <row r="4">
      <c r="A4" s="3" t="inlineStr">
        <is>
          <t>ASSUMPTIONS (edit these — everything below follows)</t>
        </is>
      </c>
    </row>
    <row r="5">
      <c r="A5" s="4" t="inlineStr"/>
      <c r="B5" s="4" t="inlineStr">
        <is>
          <t>Q4 2026</t>
        </is>
      </c>
      <c r="C5" s="4" t="inlineStr">
        <is>
          <t>2027</t>
        </is>
      </c>
      <c r="D5" s="4" t="inlineStr">
        <is>
          <t>2028</t>
        </is>
      </c>
      <c r="E5" s="4" t="inlineStr"/>
    </row>
    <row r="6">
      <c r="A6" s="5" t="inlineStr">
        <is>
          <t>Spending basis — share of a full year's operating budget</t>
        </is>
      </c>
      <c r="B6" s="6" t="n">
        <v>0.25</v>
      </c>
      <c r="C6" s="6" t="n">
        <v>1</v>
      </c>
      <c r="D6" s="6" t="n">
        <v>1</v>
      </c>
    </row>
    <row r="7">
      <c r="A7" s="5" t="inlineStr">
        <is>
          <t>Fundraising basis — share of the CHF 100k-200k target raised this period</t>
        </is>
      </c>
      <c r="B7" s="6" t="n">
        <v>1</v>
      </c>
      <c r="C7" s="6" t="n">
        <v>0</v>
      </c>
      <c r="D7" s="6" t="n">
        <v>0</v>
      </c>
    </row>
    <row r="8">
      <c r="A8" s="5" t="inlineStr">
        <is>
          <t>Base full-year fundraising target — low</t>
        </is>
      </c>
      <c r="B8" s="7" t="n">
        <v>100000</v>
      </c>
    </row>
    <row r="9">
      <c r="A9" s="5" t="inlineStr">
        <is>
          <t>Base full-year fundraising target — high</t>
        </is>
      </c>
      <c r="B9" s="7" t="n">
        <v>200000</v>
      </c>
    </row>
    <row r="10">
      <c r="A10" s="5" t="inlineStr">
        <is>
          <t>Base full-year operating budget</t>
        </is>
      </c>
      <c r="B10" s="7" t="n">
        <v>20000</v>
      </c>
    </row>
    <row r="12">
      <c r="A12" s="3" t="inlineStr">
        <is>
          <t>SUMMARY</t>
        </is>
      </c>
    </row>
    <row r="13">
      <c r="A13" s="4" t="inlineStr"/>
      <c r="B13" s="4" t="inlineStr">
        <is>
          <t>Q4 2026</t>
        </is>
      </c>
      <c r="C13" s="4" t="inlineStr">
        <is>
          <t>2027</t>
        </is>
      </c>
      <c r="D13" s="4" t="inlineStr">
        <is>
          <t>2028</t>
        </is>
      </c>
      <c r="E13" s="4" t="inlineStr">
        <is>
          <t>3-yr total</t>
        </is>
      </c>
    </row>
    <row r="14">
      <c r="A14" s="5" t="inlineStr">
        <is>
          <t>Fundraising raised — low</t>
        </is>
      </c>
      <c r="B14" s="8">
        <f>$B$8*B7</f>
        <v/>
      </c>
      <c r="C14" s="8">
        <f>$B$8*C7</f>
        <v/>
      </c>
      <c r="D14" s="8">
        <f>$B$8*D7</f>
        <v/>
      </c>
      <c r="E14" s="9">
        <f>SUM(B14:D14)</f>
        <v/>
      </c>
    </row>
    <row r="15">
      <c r="A15" s="5" t="inlineStr">
        <is>
          <t>Fundraising raised — high</t>
        </is>
      </c>
      <c r="B15" s="8">
        <f>$B$9*B7</f>
        <v/>
      </c>
      <c r="C15" s="8">
        <f>$B$9*C7</f>
        <v/>
      </c>
      <c r="D15" s="8">
        <f>$B$9*D7</f>
        <v/>
      </c>
      <c r="E15" s="9">
        <f>SUM(B15:D15)</f>
        <v/>
      </c>
    </row>
    <row r="16">
      <c r="A16" s="5" t="inlineStr">
        <is>
          <t>Operating expenses</t>
        </is>
      </c>
      <c r="B16" s="8">
        <f>$B$10*B6</f>
        <v/>
      </c>
      <c r="C16" s="8">
        <f>$B$10*C6</f>
        <v/>
      </c>
      <c r="D16" s="8">
        <f>$B$10*D6</f>
        <v/>
      </c>
      <c r="E16" s="9">
        <f>SUM(B16:D16)</f>
        <v/>
      </c>
    </row>
    <row r="17">
      <c r="A17" s="10" t="inlineStr">
        <is>
          <t>Reserve movement — low</t>
        </is>
      </c>
      <c r="B17" s="9">
        <f>B14-B16</f>
        <v/>
      </c>
      <c r="C17" s="9">
        <f>C14-C16</f>
        <v/>
      </c>
      <c r="D17" s="9">
        <f>D14-D16</f>
        <v/>
      </c>
      <c r="E17" s="9">
        <f>SUM(B17:D17)</f>
        <v/>
      </c>
    </row>
    <row r="18">
      <c r="A18" s="10" t="inlineStr">
        <is>
          <t>Reserve movement — high</t>
        </is>
      </c>
      <c r="B18" s="9">
        <f>B15-B16</f>
        <v/>
      </c>
      <c r="C18" s="9">
        <f>C15-C16</f>
        <v/>
      </c>
      <c r="D18" s="9">
        <f>D15-D16</f>
        <v/>
      </c>
      <c r="E18" s="9">
        <f>SUM(B18:D18)</f>
        <v/>
      </c>
    </row>
    <row r="19">
      <c r="A19" s="10" t="inlineStr">
        <is>
          <t>Cumulative reserve, end of period — low</t>
        </is>
      </c>
      <c r="B19" s="9">
        <f>B17</f>
        <v/>
      </c>
      <c r="C19" s="9">
        <f>B19+C17</f>
        <v/>
      </c>
      <c r="D19" s="9">
        <f>C19+D17</f>
        <v/>
      </c>
    </row>
    <row r="20">
      <c r="A20" s="10" t="inlineStr">
        <is>
          <t>Cumulative reserve, end of period — high</t>
        </is>
      </c>
      <c r="B20" s="9">
        <f>B18</f>
        <v/>
      </c>
      <c r="C20" s="9">
        <f>B20+C18</f>
        <v/>
      </c>
      <c r="D20" s="9">
        <f>C20+D18</f>
        <v/>
      </c>
    </row>
    <row r="22">
      <c r="A22" s="3" t="inlineStr">
        <is>
          <t>REVENUE BY PERIOD</t>
        </is>
      </c>
    </row>
    <row r="23">
      <c r="A23" s="4" t="inlineStr">
        <is>
          <t>Source</t>
        </is>
      </c>
      <c r="B23" s="4" t="inlineStr">
        <is>
          <t>Q4 2026</t>
        </is>
      </c>
      <c r="C23" s="4" t="inlineStr">
        <is>
          <t>2027</t>
        </is>
      </c>
      <c r="D23" s="4" t="inlineStr">
        <is>
          <t>2028</t>
        </is>
      </c>
      <c r="E23" s="4" t="inlineStr"/>
      <c r="F23" s="4" t="inlineStr">
        <is>
          <t>Notes</t>
        </is>
      </c>
    </row>
    <row r="24">
      <c r="A24" s="5" t="inlineStr">
        <is>
          <t>Donations / sponsorships — low</t>
        </is>
      </c>
      <c r="B24" s="8">
        <f>$B$8*B7</f>
        <v/>
      </c>
      <c r="C24" s="8">
        <f>$B$8*C7</f>
        <v/>
      </c>
      <c r="D24" s="8">
        <f>$B$8*D7</f>
        <v/>
      </c>
      <c r="F24" s="5" t="inlineStr">
        <is>
          <t>100% of the low-case target assumed raised in Q4 2026 - see donors/strategy.md for tiers/segments. Live pipeline tracked via GitHub Issues (donors/pipeline.md).</t>
        </is>
      </c>
    </row>
    <row r="25">
      <c r="A25" s="5" t="inlineStr">
        <is>
          <t>Donations / sponsorships — high</t>
        </is>
      </c>
      <c r="B25" s="8">
        <f>$B$9*B7</f>
        <v/>
      </c>
      <c r="C25" s="8">
        <f>$B$9*C7</f>
        <v/>
      </c>
      <c r="D25" s="8">
        <f>$B$9*D7</f>
        <v/>
      </c>
      <c r="F25" s="5" t="inlineStr">
        <is>
          <t>Same assumption.</t>
        </is>
      </c>
    </row>
    <row r="26">
      <c r="A26" s="5" t="inlineStr">
        <is>
          <t>Membership fees</t>
        </is>
      </c>
      <c r="B26" s="8" t="n">
        <v>0</v>
      </c>
      <c r="C26" s="8" t="n">
        <v>0</v>
      </c>
      <c r="D26" s="8" t="n">
        <v>0</v>
      </c>
      <c r="F26" s="5" t="inlineStr">
        <is>
          <t>TBD - set annually by the General Assembly per statutes Art. 8; likely negligible relative to donations.</t>
        </is>
      </c>
    </row>
    <row r="28">
      <c r="A28" s="3" t="inlineStr">
        <is>
          <t>OPERATING EXPENSES BY PERIOD</t>
        </is>
      </c>
    </row>
    <row r="29">
      <c r="A29" s="4" t="inlineStr">
        <is>
          <t>Category</t>
        </is>
      </c>
      <c r="B29" s="4" t="inlineStr">
        <is>
          <t>Q4 2026</t>
        </is>
      </c>
      <c r="C29" s="4" t="inlineStr">
        <is>
          <t>2027</t>
        </is>
      </c>
      <c r="D29" s="4" t="inlineStr">
        <is>
          <t>2028</t>
        </is>
      </c>
      <c r="E29" s="4" t="inlineStr"/>
      <c r="F29" s="4" t="inlineStr">
        <is>
          <t>Notes</t>
        </is>
      </c>
    </row>
    <row r="30">
      <c r="A30" s="5" t="inlineStr">
        <is>
          <t>Events</t>
        </is>
      </c>
      <c r="B30" s="8">
        <f>$B$10*0.5*B6</f>
        <v/>
      </c>
      <c r="C30" s="8">
        <f>$B$10*0.5*C6</f>
        <v/>
      </c>
      <c r="D30" s="8">
        <f>$B$10*0.5*D6</f>
        <v/>
      </c>
      <c r="F30" s="5" t="inlineStr">
        <is>
          <t>Illustrative 50% share of the operating budget - TBD.</t>
        </is>
      </c>
    </row>
    <row r="31">
      <c r="A31" s="5" t="inlineStr">
        <is>
          <t>Office equipment</t>
        </is>
      </c>
      <c r="B31" s="8">
        <f>$B$10*0.5*B6</f>
        <v/>
      </c>
      <c r="C31" s="8">
        <f>$B$10*0.5*C6</f>
        <v/>
      </c>
      <c r="D31" s="8">
        <f>$B$10*0.5*D6</f>
        <v/>
      </c>
      <c r="F31" s="5" t="inlineStr">
        <is>
          <t>Illustrative 50% share. First-year setup costs are usually front-loaded - revisit once actuals are known.</t>
        </is>
      </c>
    </row>
    <row r="32">
      <c r="A32" s="5" t="inlineStr">
        <is>
          <t>Office rent</t>
        </is>
      </c>
      <c r="B32" s="8" t="n">
        <v>0</v>
      </c>
      <c r="C32" s="8" t="n">
        <v>0</v>
      </c>
      <c r="D32" s="8" t="n">
        <v>0</v>
      </c>
      <c r="F32" s="5" t="inlineStr">
        <is>
          <t>Not yet committed - no space secured. Add as a recurring line starting in whichever period a lease is signed.</t>
        </is>
      </c>
    </row>
    <row r="33">
      <c r="A33" s="10" t="inlineStr">
        <is>
          <t>Total operating expenses</t>
        </is>
      </c>
      <c r="B33" s="9">
        <f>SUM(B30:B32)</f>
        <v/>
      </c>
      <c r="C33" s="9">
        <f>SUM(C30:C32)</f>
        <v/>
      </c>
      <c r="D33" s="9">
        <f>SUM(D30:D32)</f>
        <v/>
      </c>
    </row>
    <row r="35">
      <c r="A35" s="3" t="inlineStr">
        <is>
          <t>WHAT THIS BUDGET DOES NOT YET COVER</t>
        </is>
      </c>
    </row>
    <row r="36" ht="32" customHeight="1">
      <c r="A36" s="11" t="inlineStr">
        <is>
          <t>• Direct participant support (seed contributions to founders per statutes Art. 2, mentorship stipends, etc.) - NOT sized here, in any period. Once set, it draws directly on the reserve above rather than requiring fresh fundraising, under the current assumption.</t>
        </is>
      </c>
    </row>
    <row r="37" ht="32" customHeight="1">
      <c r="A37" s="11" t="inlineStr">
        <is>
          <t>• Paid staff - statutes assume an honorary/volunteer board (Art. 17); no salaries budgeted in any period.</t>
        </is>
      </c>
    </row>
    <row r="38" ht="32" customHeight="1">
      <c r="A38" s="11" t="inlineStr">
        <is>
          <t>• Any statutory audit fee, if the GA appoints auditors (statutes Art. 14) - not yet costed for any period.</t>
        </is>
      </c>
    </row>
    <row r="39" ht="32" customHeight="1">
      <c r="A39" s="11" t="inlineStr">
        <is>
          <t>• Whether 'raise it all in 2026, spend it down after' is actually the right fundraising strategy - a clean modeling assumption, not a decided strategy. Change the assumption cells above to test other splits.</t>
        </is>
      </c>
    </row>
    <row r="41">
      <c r="A41" s="3" t="inlineStr">
        <is>
          <t>OPEN QUESTIONS FOR THE FOUNDING TEAM</t>
        </is>
      </c>
    </row>
    <row r="42" ht="30" customHeight="1">
      <c r="A42" s="11" t="inlineStr">
        <is>
          <t>☐ Confirm 'raise ~100% in 2026, live off reserve through 2028' is the intended strategy vs. continuing to fundraise annually (change the Fundraising basis assumption row if not).</t>
        </is>
      </c>
    </row>
    <row r="43" ht="30" customHeight="1">
      <c r="A43" s="11" t="inlineStr">
        <is>
          <t>☐ Confirm the events / office-equipment split for Q4 2026.</t>
        </is>
      </c>
    </row>
    <row r="44" ht="30" customHeight="1">
      <c r="A44" s="11" t="inlineStr">
        <is>
          <t>☐ Confirm timeline for securing office space and expected rent.</t>
        </is>
      </c>
    </row>
    <row r="45" ht="30" customHeight="1">
      <c r="A45" s="11" t="inlineStr">
        <is>
          <t>☐ Set a cost-per-participant figure in participants/support-offered.md and add it as a budget line - this is what would actually draw down the reserve.</t>
        </is>
      </c>
    </row>
    <row r="46" ht="30" customHeight="1">
      <c r="A46" s="11" t="inlineStr">
        <is>
          <t>☐ Approve this plan via board resolution and/or GA per operations/finance.md's budget cycle.</t>
        </is>
      </c>
    </row>
    <row r="48">
      <c r="A48" s="2" t="inlineStr">
        <is>
          <t>See operations/budget-2026-2028.md in the auf.so repo for the full narrative version, and operations/finance.md, donors/strategy.md, donors/reporting.md for related process.</t>
        </is>
      </c>
    </row>
  </sheetData>
  <mergeCells count="18">
    <mergeCell ref="A38:F38"/>
    <mergeCell ref="A2:F2"/>
    <mergeCell ref="A41:F41"/>
    <mergeCell ref="A12:E12"/>
    <mergeCell ref="A4:E4"/>
    <mergeCell ref="A28:F28"/>
    <mergeCell ref="A42:F42"/>
    <mergeCell ref="A46:F46"/>
    <mergeCell ref="A36:F36"/>
    <mergeCell ref="A44:F44"/>
    <mergeCell ref="A1:F1"/>
    <mergeCell ref="A37:F37"/>
    <mergeCell ref="A45:F45"/>
    <mergeCell ref="A22:F22"/>
    <mergeCell ref="A35:F35"/>
    <mergeCell ref="A48:F48"/>
    <mergeCell ref="A39:F39"/>
    <mergeCell ref="A43:F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2026-07-08T04:23:58Z</dcterms:created>
  <dcterms:modified xmlns:dcterms="http://purl.org/dc/terms/" xmlns:xsi="http://www.w3.org/2001/XMLSchema-instance" xsi:type="dcterms:W3CDTF">2026-07-08T04:23:58Z</dcterms:modified>
</cp:coreProperties>
</file>